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iário" sheetId="1" state="visible" r:id="rId3"/>
    <sheet name="Por nó" sheetId="2" state="visible" r:id="rId4"/>
    <sheet name="Resumo" sheetId="3" state="visible" r:id="rId5"/>
  </sheets>
  <definedNames>
    <definedName function="false" hidden="true" localSheetId="0" name="_xlnm._FilterDatabase" vbProcedure="false">Bestiário!$A$4:$J$16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<sst xmlns="http://schemas.openxmlformats.org/spreadsheetml/2006/main" count="206" uniqueCount="153">
  <si>
    <t xml:space="preserve">Bestiário do Ato I — Culto ao Baiacu Rei</t>
  </si>
  <si>
    <t xml:space="preserve">Proposta de inimigos do Ato I (fauna selvagem, humanos e Povo da Raiz). Nomes provisórios. Nº = número no Códex do jogo.</t>
  </si>
  <si>
    <t xml:space="preserve">Nº</t>
  </si>
  <si>
    <t xml:space="preserve">Nome</t>
  </si>
  <si>
    <t xml:space="preserve">Categoria</t>
  </si>
  <si>
    <t xml:space="preserve">Tipo</t>
  </si>
  <si>
    <t xml:space="preserve">Onde aparece</t>
  </si>
  <si>
    <t xml:space="preserve">Papel no combate</t>
  </si>
  <si>
    <t xml:space="preserve">Base na engine</t>
  </si>
  <si>
    <t xml:space="preserve">Arte</t>
  </si>
  <si>
    <t xml:space="preserve">Descrição (Códex)</t>
  </si>
  <si>
    <t xml:space="preserve">Notas e sementes</t>
  </si>
  <si>
    <t xml:space="preserve">0001</t>
  </si>
  <si>
    <t xml:space="preserve">Gosma de Musgo</t>
  </si>
  <si>
    <t xml:space="preserve">Comum</t>
  </si>
  <si>
    <t xml:space="preserve">Fauna</t>
  </si>
  <si>
    <t xml:space="preserve">Prólogo (Estrada da Costa); Mata da Clareira; Pomar Abandonado</t>
  </si>
  <si>
    <t xml:space="preserve">Bando que persegue pulando</t>
  </si>
  <si>
    <t xml:space="preserve">slime</t>
  </si>
  <si>
    <t xml:space="preserve">Já existe</t>
  </si>
  <si>
    <t xml:space="preserve">Uma bolha de gel verde-azulado com um tufo de musgo na cabeça. Vaga pela mata aos pulinhos e salta em cima de quem chega perto. Sozinha é frágil e lenta; o perigo é que quase nunca anda sozinha.</t>
  </si>
  <si>
    <t xml:space="preserve">Já cadastrada no Códex (branch codex).</t>
  </si>
  <si>
    <t xml:space="preserve">0002</t>
  </si>
  <si>
    <t xml:space="preserve">Lobo-de-Capim</t>
  </si>
  <si>
    <t xml:space="preserve">Mata da Clareira; Toca das Bestas; Estrada dos Peregrinos; Pedras Riscadas; horda da Fera</t>
  </si>
  <si>
    <t xml:space="preserve">Caça em matilha, cerca pelos lados</t>
  </si>
  <si>
    <t xml:space="preserve">wolf (sprite pronto; comportamento a fazer)</t>
  </si>
  <si>
    <t xml:space="preserve">Sprite pronto</t>
  </si>
  <si>
    <t xml:space="preserve">Lobos magros com pelagem de folhas verde-escuras, que caçam em silêncio no capim alto. Nunca atacam de frente: um chama a atenção enquanto os outros fecham o cerco.</t>
  </si>
  <si>
    <t xml:space="preserve">Dá couro e osso (nó Toca das Bestas). Base da Mãe-Cinza. Sprite pronto na branch Mobs: docs/design/baiacu/assets/lobo-de-capim.png.</t>
  </si>
  <si>
    <t xml:space="preserve">0003</t>
  </si>
  <si>
    <t xml:space="preserve">Cobra-do-Junco</t>
  </si>
  <si>
    <t xml:space="preserve">Riacho dos Juncos; Marco de Raízes; A Ruína do Peixe</t>
  </si>
  <si>
    <t xml:space="preserve">Emboscada: escondida, dá o bote</t>
  </si>
  <si>
    <t xml:space="preserve">novo</t>
  </si>
  <si>
    <t xml:space="preserve">Novo</t>
  </si>
  <si>
    <t xml:space="preserve">Uma cobra comprida que se confunde com os juncos da margem. Espera imóvel por horas e dá o bote em quem pisa perto demais da água.</t>
  </si>
  <si>
    <t xml:space="preserve">Opcional se for preciso cortar arte (manter o Siri).</t>
  </si>
  <si>
    <t xml:space="preserve">0004</t>
  </si>
  <si>
    <t xml:space="preserve">Siri-de-Pedra</t>
  </si>
  <si>
    <t xml:space="preserve">Riacho dos Juncos; Pedreira da Encosta; A Ruína do Peixe</t>
  </si>
  <si>
    <t xml:space="preserve">Guarda frontal: precisa ser flanqueado</t>
  </si>
  <si>
    <t xml:space="preserve">novo (mecânica de guarda frontal)</t>
  </si>
  <si>
    <t xml:space="preserve">Um siri do tamanho de um escudo, com a carapaça grossa como rocha. Os pescadores da costa dizem que ele sobe o riacho seguindo o cheiro de sal.</t>
  </si>
  <si>
    <t xml:space="preserve">Semente leve: aparece onde houve sal (Ruína do Peixe). Ensina a flanquear antes da Fera.</t>
  </si>
  <si>
    <t xml:space="preserve">0005</t>
  </si>
  <si>
    <t xml:space="preserve">Morcego-das-Fendas</t>
  </si>
  <si>
    <t xml:space="preserve">Pedreira da Encosta; Gruta das Runas; A Ruína do Peixe</t>
  </si>
  <si>
    <t xml:space="preserve">Voador em revoada</t>
  </si>
  <si>
    <t xml:space="preserve">bat (renomear o "Morcego de Brasa")</t>
  </si>
  <si>
    <t xml:space="preserve">Vive nas rachaduras da pedreira e sai em revoada ao menor barulho. Sozinho é inofensivo; em bando, é uma nuvem de dentes.</t>
  </si>
  <si>
    <t xml:space="preserve">Trocar a paleta de brasa por tons de pedra.</t>
  </si>
  <si>
    <t xml:space="preserve">0006</t>
  </si>
  <si>
    <t xml:space="preserve">Javali Couro-de-Ferro</t>
  </si>
  <si>
    <t xml:space="preserve">Toca das Bestas; Pomar Abandonado; Pedras Riscadas; horda da Fera</t>
  </si>
  <si>
    <t xml:space="preserve">Pesado que dá investidas</t>
  </si>
  <si>
    <t xml:space="preserve">boar</t>
  </si>
  <si>
    <t xml:space="preserve">Um javali de couro tão duro que lâmina ruim só arranha. Quando abaixa a cabeça e raspa a pata no chão, é hora de sair da frente.</t>
  </si>
  <si>
    <t xml:space="preserve">0007</t>
  </si>
  <si>
    <t xml:space="preserve">Saqueador da Estrada</t>
  </si>
  <si>
    <t xml:space="preserve">Humano</t>
  </si>
  <si>
    <t xml:space="preserve">Acampamento de Saqueadores; Estrada dos Peregrinos; Fumaça na Serra (credores do Odo)</t>
  </si>
  <si>
    <t xml:space="preserve">Corpo a corpo que circula</t>
  </si>
  <si>
    <t xml:space="preserve">goblin (corpo humanoide, nova pintura)</t>
  </si>
  <si>
    <t xml:space="preserve">Reaproveita</t>
  </si>
  <si>
    <t xml:space="preserve">Desertores e ladrões que vivem de assaltar quem passa pelas trilhas. Lutam sujo, em grupo, e somem no mato quando a luta vira.</t>
  </si>
  <si>
    <t xml:space="preserve">Carrega a moeda estrangeira (F10).</t>
  </si>
  <si>
    <t xml:space="preserve">0008</t>
  </si>
  <si>
    <t xml:space="preserve">Besteiro Saqueador</t>
  </si>
  <si>
    <t xml:space="preserve">Acampamento de Saqueadores; Estrada dos Peregrinos; Fumaça na Serra</t>
  </si>
  <si>
    <t xml:space="preserve">À distância, mantém distância</t>
  </si>
  <si>
    <t xml:space="preserve">archer (corpo humanoide, nova pintura)</t>
  </si>
  <si>
    <t xml:space="preserve">Saqueador que prefere atirar de longe, atrás de cercas e carroças tombadas. A besta é velha, mas o virote acerta.</t>
  </si>
  <si>
    <t xml:space="preserve">0009</t>
  </si>
  <si>
    <t xml:space="preserve">Batedor da Raiz</t>
  </si>
  <si>
    <t xml:space="preserve">Especial</t>
  </si>
  <si>
    <t xml:space="preserve">Povo da Raiz</t>
  </si>
  <si>
    <t xml:space="preserve">Marco de Raízes (QP07)</t>
  </si>
  <si>
    <t xml:space="preserve">Luta rápida: foge com pouca vida</t>
  </si>
  <si>
    <t xml:space="preserve">novo (humanoide)</t>
  </si>
  <si>
    <t xml:space="preserve">Um guerreiro do povo daqui, rápido e leve, pintado com terra e seiva. Ataca, recua e some entre as raízes, mas nunca fere quem já está caído.</t>
  </si>
  <si>
    <t xml:space="preserve">Nunca morre no Ato I: registra no Códex ao fugir (regra nova). Nome provisório sugerido: Tarum.</t>
  </si>
  <si>
    <t xml:space="preserve">0010</t>
  </si>
  <si>
    <t xml:space="preserve">Mãe-Cinza, a Matriarca da Toca</t>
  </si>
  <si>
    <t xml:space="preserve">Chefe (opcional)</t>
  </si>
  <si>
    <t xml:space="preserve">Toca das Bestas (QS09)</t>
  </si>
  <si>
    <t xml:space="preserve">Chama Lobos-de-Capim em ondas</t>
  </si>
  <si>
    <t xml:space="preserve">Lobo-de-Capim ampliado</t>
  </si>
  <si>
    <t xml:space="preserve">A loba mais velha da toca, grande como um cavalo pequeno e com uma orelha rasgada. Onde ela uiva, a matilha inteira responde.</t>
  </si>
  <si>
    <t xml:space="preserve">Couro raro vira troféu do canto do cavaleiro (QS07).</t>
  </si>
  <si>
    <t xml:space="preserve">0011</t>
  </si>
  <si>
    <t xml:space="preserve">Duas-Moedas, chefe dos saqueadores</t>
  </si>
  <si>
    <t xml:space="preserve">Acampamento de Saqueadores (QS06)</t>
  </si>
  <si>
    <t xml:space="preserve">Chefe humano de bando</t>
  </si>
  <si>
    <t xml:space="preserve">goblin ou archer, maior</t>
  </si>
  <si>
    <t xml:space="preserve">O chefe dos saqueadores, que morde cada moeda que rouba e guarda só as estrangeiras. Ninguém sabe de onde ele as tira.</t>
  </si>
  <si>
    <t xml:space="preserve">Espelho torto do Tobias Meia-Moeda; maior portador da semente F10 (colônia rival).</t>
  </si>
  <si>
    <t xml:space="preserve">0012</t>
  </si>
  <si>
    <t xml:space="preserve">A Fera Maculada</t>
  </si>
  <si>
    <t xml:space="preserve">Chefe (principal)</t>
  </si>
  <si>
    <t xml:space="preserve">Fauna corrompida</t>
  </si>
  <si>
    <t xml:space="preserve">Covil da Fera Maculada (QP09); defesa do acampamento (EV02, C09)</t>
  </si>
  <si>
    <t xml:space="preserve">Bote com mordida; golpe de cauda (preparo e chicotada); inflar de baiacu (todos os espinhos eriçados, corpo inchado)</t>
  </si>
  <si>
    <t xml:space="preserve">fera (iguana gigante, 64×64, tamanho do Coração de Brasa)</t>
  </si>
  <si>
    <t xml:space="preserve">Uma iguana gigante da serra, tomada pelo veneno do Rei Baiacu. Cristais de sal rompem o dorso, a crista é de espinhos de baiacu e os olhos brilham como o mar à noite. Quando ameaçada, ela se infla e eriça cada espinho.</t>
  </si>
  <si>
    <t xml:space="preserve">Antes "Fera Salgada". Forma decidida: iguana gigante (sprite na branch Mobs: docs/design/baiacu/assets/fera-maculada.png). Horda: Lobos e Javalis. Fragmento F07.</t>
  </si>
  <si>
    <t xml:space="preserve">Inimigos por nó do atlas</t>
  </si>
  <si>
    <t xml:space="preserve">Marque X onde o inimigo aparece. As contagens se atualizam sozinhas.</t>
  </si>
  <si>
    <t xml:space="preserve">Nó do atlas</t>
  </si>
  <si>
    <t xml:space="preserve">0001
Gosma de Musgo</t>
  </si>
  <si>
    <t xml:space="preserve">0002
Lobo-de-Capim</t>
  </si>
  <si>
    <t xml:space="preserve">0003
Cobra-do-Junco</t>
  </si>
  <si>
    <t xml:space="preserve">0004
Siri-de-Pedra</t>
  </si>
  <si>
    <t xml:space="preserve">0005
Morcego-das-Fendas</t>
  </si>
  <si>
    <t xml:space="preserve">0006
Javali Couro-de-Ferro</t>
  </si>
  <si>
    <t xml:space="preserve">0007
Saqueador da Estrada</t>
  </si>
  <si>
    <t xml:space="preserve">0008
Besteiro Saqueador</t>
  </si>
  <si>
    <t xml:space="preserve">0009
Batedor da Raiz</t>
  </si>
  <si>
    <t xml:space="preserve">0010
Mãe-Cinza</t>
  </si>
  <si>
    <t xml:space="preserve">0011
Duas-Moedas</t>
  </si>
  <si>
    <t xml:space="preserve">0012
A Fera Maculada</t>
  </si>
  <si>
    <t xml:space="preserve">Tipos no nó</t>
  </si>
  <si>
    <t xml:space="preserve">Mata da Clareira</t>
  </si>
  <si>
    <t xml:space="preserve">X</t>
  </si>
  <si>
    <t xml:space="preserve">Riacho dos Juncos</t>
  </si>
  <si>
    <t xml:space="preserve">Pedreira da Encosta</t>
  </si>
  <si>
    <t xml:space="preserve">Toca das Bestas</t>
  </si>
  <si>
    <t xml:space="preserve">Fumaça na Serra</t>
  </si>
  <si>
    <t xml:space="preserve">Estrada dos Peregrinos</t>
  </si>
  <si>
    <t xml:space="preserve">Pomar Abandonado</t>
  </si>
  <si>
    <t xml:space="preserve">Pedras Riscadas</t>
  </si>
  <si>
    <t xml:space="preserve">Acampamento de Saqueadores</t>
  </si>
  <si>
    <t xml:space="preserve">Marco de Raízes</t>
  </si>
  <si>
    <t xml:space="preserve">Gruta das Runas</t>
  </si>
  <si>
    <t xml:space="preserve">A Ruína do Peixe</t>
  </si>
  <si>
    <t xml:space="preserve">Covil da Fera Maculada</t>
  </si>
  <si>
    <t xml:space="preserve">Nós em que aparece</t>
  </si>
  <si>
    <t xml:space="preserve">Fonte: proposta feita a partir da Bíblia Narrativa e do Caderno do Ato I (atlas de 12 nós + Gruta das Runas, nó 13).</t>
  </si>
  <si>
    <t xml:space="preserve">Resumo</t>
  </si>
  <si>
    <t xml:space="preserve">Total de entradas no Códex</t>
  </si>
  <si>
    <t xml:space="preserve">Inimigos comuns</t>
  </si>
  <si>
    <t xml:space="preserve">Encontros especiais</t>
  </si>
  <si>
    <t xml:space="preserve">Chefes opcionais</t>
  </si>
  <si>
    <t xml:space="preserve">Chefe principal</t>
  </si>
  <si>
    <t xml:space="preserve">Arte: já existe na engine</t>
  </si>
  <si>
    <t xml:space="preserve">Arte: reaproveita corpo existente</t>
  </si>
  <si>
    <t xml:space="preserve">Arte: sprite pronto (falta o comportamento)</t>
  </si>
  <si>
    <t xml:space="preserve">Arte: sprite novo a fazer</t>
  </si>
  <si>
    <t xml:space="preserve">Como editar</t>
  </si>
  <si>
    <t xml:space="preserve">• Bestiário: uma linha por inimigo. Categoria e Arte têm listas de opções; o resto é texto livre.</t>
  </si>
  <si>
    <t xml:space="preserve">• Novo inimigo: preencha uma linha nova no fim da tabela do Bestiário e uma coluna no "Por nó", se quiser a matriz.</t>
  </si>
  <si>
    <t xml:space="preserve">• Por nó: marque X nas células onde o inimigo aparece; as contagens se recalculam.</t>
  </si>
  <si>
    <t xml:space="preserve">• Nº segue o Códex do jogo (0001 já está implementado). "A Fera Maculada" era "A Fera Salgada".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</si>
</sst>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ECF4"/>
        <bgColor rgb="FFD6E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8FA"/>
          <bgColor rgb="FF000000"/>
        </patternFill>
      </fill>
    </dxf>
    <dxf>
      <fill>
        <patternFill patternType="solid">
          <fgColor rgb="FFD9F2DF"/>
          <bgColor rgb="FF000000"/>
        </patternFill>
      </fill>
    </dxf>
    <dxf>
      <fill>
        <patternFill patternType="solid">
          <fgColor rgb="FFFBDADA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>
          <bgColor rgb="FFD9F2DF"/>
        </patternFill>
      </fill>
    </dxf>
    <dxf>
      <fill>
        <patternFill>
          <bgColor rgb="FFFFF1CC"/>
        </patternFill>
      </fill>
    </dxf>
    <dxf>
      <fill>
        <patternFill>
          <bgColor rgb="FFD6E8FA"/>
        </patternFill>
      </fill>
    </dxf>
    <dxf>
      <fill>
        <patternFill>
          <bgColor rgb="FFFBDADA"/>
        </patternFill>
      </fill>
    </dxf>
    <dxf>
      <font>
        <name val="Arial"/>
        <charset val="1"/>
        <family val="0"/>
        <color rgb="FF8A1C1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C"/>
      <rgbColor rgb="FFD6E8FA"/>
      <rgbColor rgb="FF660066"/>
      <rgbColor rgb="FFFF8080"/>
      <rgbColor rgb="FF0066CC"/>
      <rgbColor rgb="FFC9CF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4"/>
      <rgbColor rgb="FFD9F2DF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A1C1C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7" min="6" style="0" width="30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s">
        <v>12</v>
      </c>
      <c r="B5" s="5" t="s">
        <v>13</v>
      </c>
      <c r="C5" s="6" t="s">
        <v>14</v>
      </c>
      <c r="D5" s="6" t="s">
        <v>15</v>
      </c>
      <c r="E5" s="7" t="s">
        <v>16</v>
      </c>
      <c r="F5" s="7" t="s">
        <v>17</v>
      </c>
      <c r="G5" s="7" t="s">
        <v>18</v>
      </c>
      <c r="H5" s="6" t="s">
        <v>19</v>
      </c>
      <c r="I5" s="7" t="s">
        <v>20</v>
      </c>
      <c r="J5" s="7" t="s">
        <v>21</v>
      </c>
    </row>
    <row r="6" customFormat="false" ht="61.5" hidden="false" customHeight="true" outlineLevel="0" collapsed="false">
      <c r="A6" s="4" t="s">
        <v>22</v>
      </c>
      <c r="B6" s="5" t="s">
        <v>23</v>
      </c>
      <c r="C6" s="6" t="s">
        <v>14</v>
      </c>
      <c r="D6" s="6" t="s">
        <v>15</v>
      </c>
      <c r="E6" s="7" t="s">
        <v>24</v>
      </c>
      <c r="F6" s="7" t="s">
        <v>25</v>
      </c>
      <c r="G6" s="7" t="s">
        <v>26</v>
      </c>
      <c r="H6" s="6" t="s">
        <v>27</v>
      </c>
      <c r="I6" s="7" t="s">
        <v>28</v>
      </c>
      <c r="J6" s="7" t="s">
        <v>29</v>
      </c>
    </row>
    <row r="7" customFormat="false" ht="61.5" hidden="false" customHeight="true" outlineLevel="0" collapsed="false">
      <c r="A7" s="4" t="s">
        <v>30</v>
      </c>
      <c r="B7" s="5" t="s">
        <v>31</v>
      </c>
      <c r="C7" s="6" t="s">
        <v>14</v>
      </c>
      <c r="D7" s="6" t="s">
        <v>15</v>
      </c>
      <c r="E7" s="7" t="s">
        <v>32</v>
      </c>
      <c r="F7" s="7" t="s">
        <v>33</v>
      </c>
      <c r="G7" s="7" t="s">
        <v>34</v>
      </c>
      <c r="H7" s="6" t="s">
        <v>35</v>
      </c>
      <c r="I7" s="7" t="s">
        <v>36</v>
      </c>
      <c r="J7" s="7" t="s">
        <v>37</v>
      </c>
    </row>
    <row r="8" customFormat="false" ht="61.5" hidden="false" customHeight="true" outlineLevel="0" collapsed="false">
      <c r="A8" s="4" t="s">
        <v>38</v>
      </c>
      <c r="B8" s="5" t="s">
        <v>39</v>
      </c>
      <c r="C8" s="6" t="s">
        <v>14</v>
      </c>
      <c r="D8" s="6" t="s">
        <v>15</v>
      </c>
      <c r="E8" s="7" t="s">
        <v>40</v>
      </c>
      <c r="F8" s="7" t="s">
        <v>41</v>
      </c>
      <c r="G8" s="7" t="s">
        <v>42</v>
      </c>
      <c r="H8" s="6" t="s">
        <v>35</v>
      </c>
      <c r="I8" s="7" t="s">
        <v>43</v>
      </c>
      <c r="J8" s="7" t="s">
        <v>44</v>
      </c>
    </row>
    <row r="9" customFormat="false" ht="61.5" hidden="false" customHeight="true" outlineLevel="0" collapsed="false">
      <c r="A9" s="4" t="s">
        <v>45</v>
      </c>
      <c r="B9" s="5" t="s">
        <v>46</v>
      </c>
      <c r="C9" s="6" t="s">
        <v>14</v>
      </c>
      <c r="D9" s="6" t="s">
        <v>15</v>
      </c>
      <c r="E9" s="7" t="s">
        <v>47</v>
      </c>
      <c r="F9" s="7" t="s">
        <v>48</v>
      </c>
      <c r="G9" s="7" t="s">
        <v>49</v>
      </c>
      <c r="H9" s="6" t="s">
        <v>19</v>
      </c>
      <c r="I9" s="7" t="s">
        <v>50</v>
      </c>
      <c r="J9" s="7" t="s">
        <v>51</v>
      </c>
    </row>
    <row r="10" customFormat="false" ht="61.5" hidden="false" customHeight="true" outlineLevel="0" collapsed="false">
      <c r="A10" s="4" t="s">
        <v>52</v>
      </c>
      <c r="B10" s="5" t="s">
        <v>53</v>
      </c>
      <c r="C10" s="6" t="s">
        <v>14</v>
      </c>
      <c r="D10" s="6" t="s">
        <v>15</v>
      </c>
      <c r="E10" s="7" t="s">
        <v>54</v>
      </c>
      <c r="F10" s="7" t="s">
        <v>55</v>
      </c>
      <c r="G10" s="7" t="s">
        <v>56</v>
      </c>
      <c r="H10" s="6" t="s">
        <v>19</v>
      </c>
      <c r="I10" s="7" t="s">
        <v>57</v>
      </c>
      <c r="J10" s="7"/>
    </row>
    <row r="11" customFormat="false" ht="61.5" hidden="false" customHeight="true" outlineLevel="0" collapsed="false">
      <c r="A11" s="4" t="s">
        <v>58</v>
      </c>
      <c r="B11" s="5" t="s">
        <v>59</v>
      </c>
      <c r="C11" s="6" t="s">
        <v>14</v>
      </c>
      <c r="D11" s="6" t="s">
        <v>60</v>
      </c>
      <c r="E11" s="7" t="s">
        <v>61</v>
      </c>
      <c r="F11" s="7" t="s">
        <v>62</v>
      </c>
      <c r="G11" s="7" t="s">
        <v>63</v>
      </c>
      <c r="H11" s="6" t="s">
        <v>64</v>
      </c>
      <c r="I11" s="7" t="s">
        <v>65</v>
      </c>
      <c r="J11" s="7" t="s">
        <v>66</v>
      </c>
    </row>
    <row r="12" customFormat="false" ht="61.5" hidden="false" customHeight="true" outlineLevel="0" collapsed="false">
      <c r="A12" s="4" t="s">
        <v>67</v>
      </c>
      <c r="B12" s="5" t="s">
        <v>68</v>
      </c>
      <c r="C12" s="6" t="s">
        <v>14</v>
      </c>
      <c r="D12" s="6" t="s">
        <v>60</v>
      </c>
      <c r="E12" s="7" t="s">
        <v>69</v>
      </c>
      <c r="F12" s="7" t="s">
        <v>70</v>
      </c>
      <c r="G12" s="7" t="s">
        <v>71</v>
      </c>
      <c r="H12" s="6" t="s">
        <v>64</v>
      </c>
      <c r="I12" s="7" t="s">
        <v>72</v>
      </c>
      <c r="J12" s="7"/>
    </row>
    <row r="13" customFormat="false" ht="61.5" hidden="false" customHeight="true" outlineLevel="0" collapsed="false">
      <c r="A13" s="4" t="s">
        <v>73</v>
      </c>
      <c r="B13" s="5" t="s">
        <v>74</v>
      </c>
      <c r="C13" s="6" t="s">
        <v>75</v>
      </c>
      <c r="D13" s="6" t="s">
        <v>76</v>
      </c>
      <c r="E13" s="7" t="s">
        <v>77</v>
      </c>
      <c r="F13" s="7" t="s">
        <v>78</v>
      </c>
      <c r="G13" s="7" t="s">
        <v>79</v>
      </c>
      <c r="H13" s="6" t="s">
        <v>35</v>
      </c>
      <c r="I13" s="7" t="s">
        <v>80</v>
      </c>
      <c r="J13" s="7" t="s">
        <v>81</v>
      </c>
    </row>
    <row r="14" customFormat="false" ht="61.5" hidden="false" customHeight="true" outlineLevel="0" collapsed="false">
      <c r="A14" s="4" t="s">
        <v>82</v>
      </c>
      <c r="B14" s="5" t="s">
        <v>83</v>
      </c>
      <c r="C14" s="6" t="s">
        <v>84</v>
      </c>
      <c r="D14" s="6" t="s">
        <v>15</v>
      </c>
      <c r="E14" s="7" t="s">
        <v>85</v>
      </c>
      <c r="F14" s="7" t="s">
        <v>86</v>
      </c>
      <c r="G14" s="7" t="s">
        <v>87</v>
      </c>
      <c r="H14" s="6" t="s">
        <v>35</v>
      </c>
      <c r="I14" s="7" t="s">
        <v>88</v>
      </c>
      <c r="J14" s="7" t="s">
        <v>89</v>
      </c>
    </row>
    <row r="15" customFormat="false" ht="61.5" hidden="false" customHeight="true" outlineLevel="0" collapsed="false">
      <c r="A15" s="4" t="s">
        <v>90</v>
      </c>
      <c r="B15" s="5" t="s">
        <v>91</v>
      </c>
      <c r="C15" s="6" t="s">
        <v>84</v>
      </c>
      <c r="D15" s="6" t="s">
        <v>60</v>
      </c>
      <c r="E15" s="7" t="s">
        <v>92</v>
      </c>
      <c r="F15" s="7" t="s">
        <v>93</v>
      </c>
      <c r="G15" s="7" t="s">
        <v>94</v>
      </c>
      <c r="H15" s="6" t="s">
        <v>64</v>
      </c>
      <c r="I15" s="7" t="s">
        <v>95</v>
      </c>
      <c r="J15" s="7" t="s">
        <v>96</v>
      </c>
    </row>
    <row r="16" customFormat="false" ht="61.5" hidden="false" customHeight="true" outlineLevel="0" collapsed="false">
      <c r="A16" s="4" t="s">
        <v>97</v>
      </c>
      <c r="B16" s="5" t="s">
        <v>98</v>
      </c>
      <c r="C16" s="6" t="s">
        <v>99</v>
      </c>
      <c r="D16" s="6" t="s">
        <v>100</v>
      </c>
      <c r="E16" s="7" t="s">
        <v>101</v>
      </c>
      <c r="F16" s="7" t="s">
        <v>102</v>
      </c>
      <c r="G16" s="7" t="s">
        <v>103</v>
      </c>
      <c r="H16" s="6" t="s">
        <v>27</v>
      </c>
      <c r="I16" s="7" t="s">
        <v>104</v>
      </c>
      <c r="J16" s="7" t="s">
        <v>105</v>
      </c>
    </row>
  </sheetData>
  <autoFilter ref="A4:J16"/>
  <conditionalFormatting sqref="H5:H64">
    <cfRule type="expression" priority="2" aboveAverage="0" equalAverage="0" bottom="0" percent="0" rank="0" text="" dxfId="8">
      <formula>H5="Já existe"</formula>
    </cfRule>
    <cfRule type="expression" priority="3" aboveAverage="0" equalAverage="0" bottom="0" percent="0" rank="0" text="" dxfId="9">
      <formula>H5="Reaproveita"</formula>
    </cfRule>
    <cfRule type="expression" priority="4" aboveAverage="0" equalAverage="0" bottom="0" percent="0" rank="0" text="" dxfId="10">
      <formula>H5="Sprite pronto"</formula>
    </cfRule>
    <cfRule type="expression" priority="5" aboveAverage="0" equalAverage="0" bottom="0" percent="0" rank="0" text="" dxfId="11">
      <formula>H5="Novo"</formula>
    </cfRule>
  </conditionalFormatting>
  <conditionalFormatting sqref="A5:J64">
    <cfRule type="expression" priority="6" aboveAverage="0" equalAverage="0" bottom="0" percent="0" rank="0" text="" dxfId="12">
      <formula>LEFT($C5,5)="Chefe"</formula>
    </cfRule>
  </conditionalFormatting>
  <dataValidations count="2">
    <dataValidation allowBlank="true" errorStyle="stop" operator="between" showDropDown="false" showErrorMessage="false" showInputMessage="false" sqref="C5:C64" type="list">
      <formula1>"Comum,Especial,Chefe (opcional),Chefe (principal)"</formula1>
      <formula2>0</formula2>
    </dataValidation>
    <dataValidation allowBlank="true" errorStyle="stop" operator="between" showDropDown="false" showErrorMessage="false" showInputMessage="false" sqref="H5:H64" type="list">
      <formula1>"Já existe,Reaproveita,Sprite pronto,Novo"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45.75" hidden="false" customHeight="true" outlineLevel="0" collapsed="false">
      <c r="A4" s="8" t="s">
        <v>108</v>
      </c>
      <c r="B4" s="9" t="s">
        <v>109</v>
      </c>
      <c r="C4" s="9" t="s">
        <v>110</v>
      </c>
      <c r="D4" s="9" t="s">
        <v>111</v>
      </c>
      <c r="E4" s="9" t="s">
        <v>112</v>
      </c>
      <c r="F4" s="9" t="s">
        <v>113</v>
      </c>
      <c r="G4" s="9" t="s">
        <v>114</v>
      </c>
      <c r="H4" s="9" t="s">
        <v>115</v>
      </c>
      <c r="I4" s="9" t="s">
        <v>116</v>
      </c>
      <c r="J4" s="9" t="s">
        <v>117</v>
      </c>
      <c r="K4" s="9" t="s">
        <v>118</v>
      </c>
      <c r="L4" s="9" t="s">
        <v>119</v>
      </c>
      <c r="M4" s="9" t="s">
        <v>120</v>
      </c>
      <c r="N4" s="3" t="s">
        <v>121</v>
      </c>
    </row>
    <row r="5" customFormat="false" ht="15" hidden="false" customHeight="false" outlineLevel="0" collapsed="false">
      <c r="A5" s="10" t="s">
        <v>122</v>
      </c>
      <c r="B5" s="11" t="s">
        <v>123</v>
      </c>
      <c r="C5" s="11" t="s">
        <v>123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 t="n">
        <f aca="false">COUNTIF(B5:M5,"X")</f>
        <v>2</v>
      </c>
    </row>
    <row r="6" customFormat="false" ht="15" hidden="false" customHeight="false" outlineLevel="0" collapsed="false">
      <c r="A6" s="10" t="s">
        <v>124</v>
      </c>
      <c r="B6" s="11"/>
      <c r="C6" s="11"/>
      <c r="D6" s="11" t="s">
        <v>123</v>
      </c>
      <c r="E6" s="11" t="s">
        <v>123</v>
      </c>
      <c r="F6" s="11"/>
      <c r="G6" s="11"/>
      <c r="H6" s="11"/>
      <c r="I6" s="11"/>
      <c r="J6" s="11"/>
      <c r="K6" s="11"/>
      <c r="L6" s="11"/>
      <c r="M6" s="11"/>
      <c r="N6" s="12" t="n">
        <f aca="false">COUNTIF(B6:M6,"X")</f>
        <v>2</v>
      </c>
    </row>
    <row r="7" customFormat="false" ht="15" hidden="false" customHeight="false" outlineLevel="0" collapsed="false">
      <c r="A7" s="10" t="s">
        <v>125</v>
      </c>
      <c r="B7" s="11"/>
      <c r="C7" s="11"/>
      <c r="D7" s="11"/>
      <c r="E7" s="11" t="s">
        <v>123</v>
      </c>
      <c r="F7" s="11" t="s">
        <v>123</v>
      </c>
      <c r="G7" s="11"/>
      <c r="H7" s="11"/>
      <c r="I7" s="11"/>
      <c r="J7" s="11"/>
      <c r="K7" s="11"/>
      <c r="L7" s="11"/>
      <c r="M7" s="11"/>
      <c r="N7" s="12" t="n">
        <f aca="false">COUNTIF(B7:M7,"X")</f>
        <v>2</v>
      </c>
    </row>
    <row r="8" customFormat="false" ht="15" hidden="false" customHeight="false" outlineLevel="0" collapsed="false">
      <c r="A8" s="10" t="s">
        <v>126</v>
      </c>
      <c r="B8" s="11"/>
      <c r="C8" s="11" t="s">
        <v>123</v>
      </c>
      <c r="D8" s="11"/>
      <c r="E8" s="11"/>
      <c r="F8" s="11"/>
      <c r="G8" s="11" t="s">
        <v>123</v>
      </c>
      <c r="H8" s="11"/>
      <c r="I8" s="11"/>
      <c r="J8" s="11"/>
      <c r="K8" s="11" t="s">
        <v>123</v>
      </c>
      <c r="L8" s="11"/>
      <c r="M8" s="11"/>
      <c r="N8" s="12" t="n">
        <f aca="false">COUNTIF(B8:M8,"X")</f>
        <v>3</v>
      </c>
    </row>
    <row r="9" customFormat="false" ht="15" hidden="false" customHeight="false" outlineLevel="0" collapsed="false">
      <c r="A9" s="10" t="s">
        <v>127</v>
      </c>
      <c r="B9" s="11"/>
      <c r="C9" s="11"/>
      <c r="D9" s="11"/>
      <c r="E9" s="11"/>
      <c r="F9" s="11"/>
      <c r="G9" s="11"/>
      <c r="H9" s="11" t="s">
        <v>123</v>
      </c>
      <c r="I9" s="11" t="s">
        <v>123</v>
      </c>
      <c r="J9" s="11"/>
      <c r="K9" s="11"/>
      <c r="L9" s="11"/>
      <c r="M9" s="11"/>
      <c r="N9" s="12" t="n">
        <f aca="false">COUNTIF(B9:M9,"X")</f>
        <v>2</v>
      </c>
    </row>
    <row r="10" customFormat="false" ht="15" hidden="false" customHeight="false" outlineLevel="0" collapsed="false">
      <c r="A10" s="10" t="s">
        <v>128</v>
      </c>
      <c r="B10" s="11"/>
      <c r="C10" s="11" t="s">
        <v>123</v>
      </c>
      <c r="D10" s="11"/>
      <c r="E10" s="11"/>
      <c r="F10" s="11"/>
      <c r="G10" s="11"/>
      <c r="H10" s="11" t="s">
        <v>123</v>
      </c>
      <c r="I10" s="11" t="s">
        <v>123</v>
      </c>
      <c r="J10" s="11"/>
      <c r="K10" s="11"/>
      <c r="L10" s="11"/>
      <c r="M10" s="11"/>
      <c r="N10" s="12" t="n">
        <f aca="false">COUNTIF(B10:M10,"X")</f>
        <v>3</v>
      </c>
    </row>
    <row r="11" customFormat="false" ht="15" hidden="false" customHeight="false" outlineLevel="0" collapsed="false">
      <c r="A11" s="10" t="s">
        <v>129</v>
      </c>
      <c r="B11" s="11" t="s">
        <v>123</v>
      </c>
      <c r="C11" s="11"/>
      <c r="D11" s="11"/>
      <c r="E11" s="11"/>
      <c r="F11" s="11"/>
      <c r="G11" s="11" t="s">
        <v>123</v>
      </c>
      <c r="H11" s="11"/>
      <c r="I11" s="11"/>
      <c r="J11" s="11"/>
      <c r="K11" s="11"/>
      <c r="L11" s="11"/>
      <c r="M11" s="11"/>
      <c r="N11" s="12" t="n">
        <f aca="false">COUNTIF(B11:M11,"X")</f>
        <v>2</v>
      </c>
    </row>
    <row r="12" customFormat="false" ht="15" hidden="false" customHeight="false" outlineLevel="0" collapsed="false">
      <c r="A12" s="10" t="s">
        <v>130</v>
      </c>
      <c r="B12" s="11"/>
      <c r="C12" s="11" t="s">
        <v>123</v>
      </c>
      <c r="D12" s="11"/>
      <c r="E12" s="11"/>
      <c r="F12" s="11"/>
      <c r="G12" s="11" t="s">
        <v>123</v>
      </c>
      <c r="H12" s="11"/>
      <c r="I12" s="11"/>
      <c r="J12" s="11"/>
      <c r="K12" s="11"/>
      <c r="L12" s="11"/>
      <c r="M12" s="11"/>
      <c r="N12" s="12" t="n">
        <f aca="false">COUNTIF(B12:M12,"X")</f>
        <v>2</v>
      </c>
    </row>
    <row r="13" customFormat="false" ht="15" hidden="false" customHeight="false" outlineLevel="0" collapsed="false">
      <c r="A13" s="10" t="s">
        <v>131</v>
      </c>
      <c r="B13" s="11"/>
      <c r="C13" s="11"/>
      <c r="D13" s="11"/>
      <c r="E13" s="11"/>
      <c r="F13" s="11"/>
      <c r="G13" s="11"/>
      <c r="H13" s="11" t="s">
        <v>123</v>
      </c>
      <c r="I13" s="11" t="s">
        <v>123</v>
      </c>
      <c r="J13" s="11"/>
      <c r="K13" s="11"/>
      <c r="L13" s="11" t="s">
        <v>123</v>
      </c>
      <c r="M13" s="11"/>
      <c r="N13" s="12" t="n">
        <f aca="false">COUNTIF(B13:M13,"X")</f>
        <v>3</v>
      </c>
    </row>
    <row r="14" customFormat="false" ht="15" hidden="false" customHeight="false" outlineLevel="0" collapsed="false">
      <c r="A14" s="10" t="s">
        <v>132</v>
      </c>
      <c r="B14" s="11"/>
      <c r="C14" s="11"/>
      <c r="D14" s="11" t="s">
        <v>123</v>
      </c>
      <c r="E14" s="11"/>
      <c r="F14" s="11"/>
      <c r="G14" s="11"/>
      <c r="H14" s="11"/>
      <c r="I14" s="11"/>
      <c r="J14" s="11" t="s">
        <v>123</v>
      </c>
      <c r="K14" s="11"/>
      <c r="L14" s="11"/>
      <c r="M14" s="11"/>
      <c r="N14" s="12" t="n">
        <f aca="false">COUNTIF(B14:M14,"X")</f>
        <v>2</v>
      </c>
    </row>
    <row r="15" customFormat="false" ht="15" hidden="false" customHeight="false" outlineLevel="0" collapsed="false">
      <c r="A15" s="10" t="s">
        <v>133</v>
      </c>
      <c r="B15" s="11"/>
      <c r="C15" s="11"/>
      <c r="D15" s="11"/>
      <c r="E15" s="11"/>
      <c r="F15" s="11" t="s">
        <v>123</v>
      </c>
      <c r="G15" s="11"/>
      <c r="H15" s="11"/>
      <c r="I15" s="11"/>
      <c r="J15" s="11"/>
      <c r="K15" s="11"/>
      <c r="L15" s="11"/>
      <c r="M15" s="11"/>
      <c r="N15" s="12" t="n">
        <f aca="false">COUNTIF(B15:M15,"X")</f>
        <v>1</v>
      </c>
    </row>
    <row r="16" customFormat="false" ht="15" hidden="false" customHeight="false" outlineLevel="0" collapsed="false">
      <c r="A16" s="10" t="s">
        <v>134</v>
      </c>
      <c r="B16" s="11"/>
      <c r="C16" s="11"/>
      <c r="D16" s="11" t="s">
        <v>123</v>
      </c>
      <c r="E16" s="11" t="s">
        <v>123</v>
      </c>
      <c r="F16" s="11" t="s">
        <v>123</v>
      </c>
      <c r="G16" s="11"/>
      <c r="H16" s="11"/>
      <c r="I16" s="11"/>
      <c r="J16" s="11"/>
      <c r="K16" s="11"/>
      <c r="L16" s="11"/>
      <c r="M16" s="11"/>
      <c r="N16" s="12" t="n">
        <f aca="false">COUNTIF(B16:M16,"X")</f>
        <v>3</v>
      </c>
    </row>
    <row r="17" customFormat="false" ht="15" hidden="false" customHeight="false" outlineLevel="0" collapsed="false">
      <c r="A17" s="10" t="s">
        <v>135</v>
      </c>
      <c r="B17" s="11"/>
      <c r="C17" s="11" t="s">
        <v>123</v>
      </c>
      <c r="D17" s="11"/>
      <c r="E17" s="11"/>
      <c r="F17" s="11"/>
      <c r="G17" s="11" t="s">
        <v>123</v>
      </c>
      <c r="H17" s="11"/>
      <c r="I17" s="11"/>
      <c r="J17" s="11"/>
      <c r="K17" s="11"/>
      <c r="L17" s="11"/>
      <c r="M17" s="11" t="s">
        <v>123</v>
      </c>
      <c r="N17" s="12" t="n">
        <f aca="false">COUNTIF(B17:M17,"X")</f>
        <v>3</v>
      </c>
    </row>
    <row r="18" customFormat="false" ht="15" hidden="false" customHeight="false" outlineLevel="0" collapsed="false">
      <c r="A18" s="13" t="s">
        <v>136</v>
      </c>
      <c r="B18" s="14" t="n">
        <f aca="false">COUNTIF(B5:B17,"X")</f>
        <v>2</v>
      </c>
      <c r="C18" s="14" t="n">
        <f aca="false">COUNTIF(C5:C17,"X")</f>
        <v>5</v>
      </c>
      <c r="D18" s="14" t="n">
        <f aca="false">COUNTIF(D5:D17,"X")</f>
        <v>3</v>
      </c>
      <c r="E18" s="14" t="n">
        <f aca="false">COUNTIF(E5:E17,"X")</f>
        <v>3</v>
      </c>
      <c r="F18" s="14" t="n">
        <f aca="false">COUNTIF(F5:F17,"X")</f>
        <v>3</v>
      </c>
      <c r="G18" s="14" t="n">
        <f aca="false">COUNTIF(G5:G17,"X")</f>
        <v>4</v>
      </c>
      <c r="H18" s="14" t="n">
        <f aca="false">COUNTIF(H5:H17,"X")</f>
        <v>3</v>
      </c>
      <c r="I18" s="14" t="n">
        <f aca="false">COUNTIF(I5:I17,"X")</f>
        <v>3</v>
      </c>
      <c r="J18" s="14" t="n">
        <f aca="false">COUNTIF(J5:J17,"X")</f>
        <v>1</v>
      </c>
      <c r="K18" s="14" t="n">
        <f aca="false">COUNTIF(K5:K17,"X")</f>
        <v>1</v>
      </c>
      <c r="L18" s="14" t="n">
        <f aca="false">COUNTIF(L5:L17,"X")</f>
        <v>1</v>
      </c>
      <c r="M18" s="14" t="n">
        <f aca="false">COUNTIF(M5:M17,"X")</f>
        <v>1</v>
      </c>
    </row>
    <row r="20" customFormat="false" ht="15" hidden="false" customHeight="false" outlineLevel="0" collapsed="false">
      <c r="A20" s="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138</v>
      </c>
    </row>
    <row r="3" customFormat="false" ht="15" hidden="false" customHeight="false" outlineLevel="0" collapsed="false">
      <c r="A3" s="15" t="s">
        <v>139</v>
      </c>
      <c r="B3" s="14" t="n">
        <f aca="false">COUNTA(Bestiário!A5:A64)</f>
        <v>12</v>
      </c>
    </row>
    <row r="4" customFormat="false" ht="15" hidden="false" customHeight="false" outlineLevel="0" collapsed="false">
      <c r="A4" s="15" t="s">
        <v>140</v>
      </c>
      <c r="B4" s="14" t="n">
        <f aca="false">COUNTIF(Bestiário!C5:C64,"Comum")</f>
        <v>8</v>
      </c>
    </row>
    <row r="5" customFormat="false" ht="15" hidden="false" customHeight="false" outlineLevel="0" collapsed="false">
      <c r="A5" s="15" t="s">
        <v>141</v>
      </c>
      <c r="B5" s="14" t="n">
        <f aca="false">COUNTIF(Bestiário!C5:C64,"Especial")</f>
        <v>1</v>
      </c>
    </row>
    <row r="6" customFormat="false" ht="15" hidden="false" customHeight="false" outlineLevel="0" collapsed="false">
      <c r="A6" s="15" t="s">
        <v>142</v>
      </c>
      <c r="B6" s="14" t="n">
        <f aca="false">COUNTIF(Bestiário!C5:C64,"Chefe (opcional)")</f>
        <v>2</v>
      </c>
    </row>
    <row r="7" customFormat="false" ht="15" hidden="false" customHeight="false" outlineLevel="0" collapsed="false">
      <c r="A7" s="15" t="s">
        <v>143</v>
      </c>
      <c r="B7" s="14" t="n">
        <f aca="false">COUNTIF(Bestiário!C5:C64,"Chefe (principal)")</f>
        <v>1</v>
      </c>
    </row>
    <row r="9" customFormat="false" ht="15" hidden="false" customHeight="false" outlineLevel="0" collapsed="false">
      <c r="A9" s="15" t="s">
        <v>144</v>
      </c>
      <c r="B9" s="14" t="n">
        <f aca="false">COUNTIF(Bestiário!H5:H64,"Já existe")</f>
        <v>3</v>
      </c>
    </row>
    <row r="10" customFormat="false" ht="15" hidden="false" customHeight="false" outlineLevel="0" collapsed="false">
      <c r="A10" s="15" t="s">
        <v>145</v>
      </c>
      <c r="B10" s="14" t="n">
        <f aca="false">COUNTIF(Bestiário!H5:H64,"Reaproveita")</f>
        <v>3</v>
      </c>
    </row>
    <row r="11" customFormat="false" ht="15" hidden="false" customHeight="false" outlineLevel="0" collapsed="false">
      <c r="A11" s="15" t="s">
        <v>146</v>
      </c>
      <c r="B11" s="14" t="n">
        <f aca="false">COUNTIF(Bestiário!H5:H64,"Sprite pronto")</f>
        <v>2</v>
      </c>
    </row>
    <row r="12" customFormat="false" ht="15" hidden="false" customHeight="false" outlineLevel="0" collapsed="false">
      <c r="A12" s="15" t="s">
        <v>147</v>
      </c>
      <c r="B12" s="14" t="n">
        <f aca="false">COUNTIF(Bestiário!H5:H64,"Novo")</f>
        <v>4</v>
      </c>
    </row>
    <row r="15" customFormat="false" ht="15" hidden="false" customHeight="false" outlineLevel="0" collapsed="false">
      <c r="A15" s="16" t="s">
        <v>148</v>
      </c>
    </row>
    <row r="16" customFormat="false" ht="15" hidden="false" customHeight="false" outlineLevel="0" collapsed="false">
      <c r="A16" s="17" t="s">
        <v>149</v>
      </c>
    </row>
    <row r="17" customFormat="false" ht="15" hidden="false" customHeight="false" outlineLevel="0" collapsed="false">
      <c r="A17" s="17" t="s">
        <v>150</v>
      </c>
    </row>
    <row r="18" customFormat="false" ht="15" hidden="false" customHeight="false" outlineLevel="0" collapsed="false">
      <c r="A18" s="17" t="s">
        <v>151</v>
      </c>
    </row>
    <row r="19" customFormat="false" ht="15" hidden="false" customHeight="false" outlineLevel="0" collapsed="false">
      <c r="A19" s="17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2026-10-28T19:11:08Z</dcterms:created>
  <dc:creator>openpyxl</dc:creator>
  <dc:description/>
  <dc:language>en-US</dc:language>
  <cp:lastModifiedBy/>
  <dcterms:modified xsi:type="dcterms:W3CDTF">2026-10-28T19:11:08Z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